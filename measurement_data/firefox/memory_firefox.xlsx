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34821de9c4637b/Dilons-Files/School-files/University/Webbutveckling/Vår-2026-Termin/Examensarbete-i-informationsteknologi-med-inriktning-mot-webbprogrammering-G2E-2026/final/finalData2/firefox/"/>
    </mc:Choice>
  </mc:AlternateContent>
  <xr:revisionPtr revIDLastSave="969" documentId="11_E60897F41BE170836B02CE998F75CCDC64E183C8" xr6:coauthVersionLast="47" xr6:coauthVersionMax="47" xr10:uidLastSave="{682BF5DF-0966-403F-9074-137CF6FBD22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N27" i="1"/>
  <c r="O26" i="1"/>
  <c r="Z9" i="1"/>
  <c r="AA9" i="1"/>
  <c r="N29" i="1" s="1"/>
  <c r="F25" i="1"/>
  <c r="AC14" i="1"/>
  <c r="AC20" i="1" s="1"/>
  <c r="AB14" i="1"/>
  <c r="AB15" i="1"/>
  <c r="AB16" i="1"/>
  <c r="AB17" i="1"/>
  <c r="AB18" i="1"/>
  <c r="V14" i="1"/>
  <c r="V15" i="1"/>
  <c r="V16" i="1"/>
  <c r="V17" i="1"/>
  <c r="V18" i="1"/>
  <c r="P14" i="1"/>
  <c r="P15" i="1"/>
  <c r="P16" i="1"/>
  <c r="P17" i="1"/>
  <c r="P18" i="1"/>
  <c r="J14" i="1"/>
  <c r="J15" i="1"/>
  <c r="J16" i="1"/>
  <c r="J17" i="1"/>
  <c r="J18" i="1"/>
  <c r="D14" i="1"/>
  <c r="D15" i="1"/>
  <c r="D16" i="1"/>
  <c r="D17" i="1"/>
  <c r="D18" i="1"/>
  <c r="B9" i="1"/>
  <c r="C9" i="1"/>
  <c r="N25" i="1" s="1"/>
  <c r="AB3" i="1"/>
  <c r="AB4" i="1"/>
  <c r="AB5" i="1"/>
  <c r="AB6" i="1"/>
  <c r="AB7" i="1"/>
  <c r="V3" i="1"/>
  <c r="V4" i="1"/>
  <c r="V5" i="1"/>
  <c r="V6" i="1"/>
  <c r="V7" i="1"/>
  <c r="P3" i="1"/>
  <c r="P4" i="1"/>
  <c r="P5" i="1"/>
  <c r="P6" i="1"/>
  <c r="P7" i="1"/>
  <c r="J3" i="1"/>
  <c r="J4" i="1"/>
  <c r="J5" i="1"/>
  <c r="J6" i="1"/>
  <c r="J7" i="1"/>
  <c r="D5" i="1"/>
  <c r="D4" i="1"/>
  <c r="D3" i="1"/>
  <c r="D7" i="1"/>
  <c r="D6" i="1"/>
  <c r="E3" i="1"/>
  <c r="G25" i="1"/>
  <c r="H9" i="1"/>
  <c r="I9" i="1"/>
  <c r="N26" i="1" s="1"/>
  <c r="F26" i="1"/>
  <c r="F27" i="1"/>
  <c r="C29" i="1"/>
  <c r="C28" i="1"/>
  <c r="C27" i="1"/>
  <c r="C26" i="1"/>
  <c r="C25" i="1"/>
  <c r="B29" i="1"/>
  <c r="B28" i="1"/>
  <c r="B27" i="1"/>
  <c r="B26" i="1"/>
  <c r="B25" i="1"/>
  <c r="G29" i="1"/>
  <c r="G28" i="1"/>
  <c r="G27" i="1"/>
  <c r="O20" i="1" s="1"/>
  <c r="P20" i="1" s="1"/>
  <c r="G26" i="1"/>
  <c r="F29" i="1"/>
  <c r="F28" i="1"/>
  <c r="H20" i="1"/>
  <c r="N9" i="1"/>
  <c r="AA20" i="1"/>
  <c r="O29" i="1" s="1"/>
  <c r="Z20" i="1"/>
  <c r="AC18" i="1"/>
  <c r="AC17" i="1"/>
  <c r="AC16" i="1"/>
  <c r="AC15" i="1"/>
  <c r="U20" i="1"/>
  <c r="O28" i="1" s="1"/>
  <c r="T20" i="1"/>
  <c r="W18" i="1"/>
  <c r="W17" i="1"/>
  <c r="W16" i="1"/>
  <c r="W15" i="1"/>
  <c r="W14" i="1"/>
  <c r="N20" i="1"/>
  <c r="Q18" i="1"/>
  <c r="Q17" i="1"/>
  <c r="Q16" i="1"/>
  <c r="Q15" i="1"/>
  <c r="Q14" i="1"/>
  <c r="I20" i="1"/>
  <c r="J20" i="1" s="1"/>
  <c r="K18" i="1"/>
  <c r="K17" i="1"/>
  <c r="K16" i="1"/>
  <c r="K15" i="1"/>
  <c r="K14" i="1"/>
  <c r="C20" i="1"/>
  <c r="D20" i="1" s="1"/>
  <c r="B20" i="1"/>
  <c r="E18" i="1"/>
  <c r="E17" i="1"/>
  <c r="E16" i="1"/>
  <c r="E15" i="1"/>
  <c r="E14" i="1"/>
  <c r="AC7" i="1"/>
  <c r="AC6" i="1"/>
  <c r="AC5" i="1"/>
  <c r="AC4" i="1"/>
  <c r="AC3" i="1"/>
  <c r="AC9" i="1" s="1"/>
  <c r="U9" i="1"/>
  <c r="V9" i="1" s="1"/>
  <c r="T9" i="1"/>
  <c r="W7" i="1"/>
  <c r="W6" i="1"/>
  <c r="W5" i="1"/>
  <c r="W4" i="1"/>
  <c r="W3" i="1"/>
  <c r="O9" i="1"/>
  <c r="P9" i="1" s="1"/>
  <c r="Q7" i="1"/>
  <c r="Q6" i="1"/>
  <c r="Q5" i="1"/>
  <c r="Q4" i="1"/>
  <c r="Q3" i="1"/>
  <c r="K7" i="1"/>
  <c r="K6" i="1"/>
  <c r="K5" i="1"/>
  <c r="K4" i="1"/>
  <c r="K3" i="1"/>
  <c r="E7" i="1"/>
  <c r="E6" i="1"/>
  <c r="E5" i="1"/>
  <c r="E4" i="1"/>
  <c r="AB20" i="1" l="1"/>
  <c r="V20" i="1"/>
  <c r="O25" i="1"/>
  <c r="N28" i="1"/>
  <c r="J9" i="1"/>
  <c r="D9" i="1"/>
  <c r="AB9" i="1"/>
  <c r="E9" i="1"/>
  <c r="J29" i="1"/>
  <c r="K29" i="1"/>
  <c r="K25" i="1"/>
  <c r="J25" i="1"/>
  <c r="J28" i="1"/>
  <c r="K28" i="1"/>
  <c r="J27" i="1"/>
  <c r="K27" i="1"/>
  <c r="J26" i="1"/>
  <c r="K26" i="1"/>
  <c r="K9" i="1"/>
  <c r="W9" i="1"/>
  <c r="W20" i="1"/>
  <c r="Q20" i="1"/>
  <c r="Q9" i="1"/>
  <c r="K20" i="1"/>
  <c r="E20" i="1"/>
</calcChain>
</file>

<file path=xl/sharedStrings.xml><?xml version="1.0" encoding="utf-8"?>
<sst xmlns="http://schemas.openxmlformats.org/spreadsheetml/2006/main" count="156" uniqueCount="39">
  <si>
    <t>2 000</t>
  </si>
  <si>
    <t>4 000</t>
  </si>
  <si>
    <t>6 000</t>
  </si>
  <si>
    <t>8 000</t>
  </si>
  <si>
    <t>10 000</t>
  </si>
  <si>
    <t>Snapshot</t>
  </si>
  <si>
    <t>Snapshot 1</t>
  </si>
  <si>
    <t>Snapshot 2</t>
  </si>
  <si>
    <t>Snapshot 3</t>
  </si>
  <si>
    <t>Snapshot 4</t>
  </si>
  <si>
    <t>Snapshot 5</t>
  </si>
  <si>
    <t>ArrayBuffer Size (MB)</t>
  </si>
  <si>
    <t>Total Heap Memory (MB)</t>
  </si>
  <si>
    <t>ArrayBuffer % of Total</t>
  </si>
  <si>
    <t>Total Average</t>
  </si>
  <si>
    <t>Particles</t>
  </si>
  <si>
    <t>Total Average Heap Memory (MB)</t>
  </si>
  <si>
    <t>Total Average ArrayBuffer Size (MB)</t>
  </si>
  <si>
    <t>ArrayBuffer % of Total Average</t>
  </si>
  <si>
    <t>C++ Total Average ArrayBuffer Size (MB)</t>
  </si>
  <si>
    <t>Rust Total Average ArrayBuffer Size (MB)</t>
  </si>
  <si>
    <t>C++ Total Average Heap Memory (MB)</t>
  </si>
  <si>
    <t>Rust Total Average Heap Memory (MB))</t>
  </si>
  <si>
    <t>C++ ArrayBuffer % of Total Average</t>
  </si>
  <si>
    <t>Rust ArrayBuffer % of Total Average</t>
  </si>
  <si>
    <t>Heap without ArrayBuffer (MB)</t>
  </si>
  <si>
    <t>Total Average Heap without ArrayBuffer (MB)</t>
  </si>
  <si>
    <t>C++ Heap without ArrayBuffer (MB)</t>
  </si>
  <si>
    <t>Rust Heap without ArrayBuffer (MB)</t>
  </si>
  <si>
    <t>C++ in Firefox memory 2000 particles:</t>
  </si>
  <si>
    <t>Rust in Firefox memory 2000 particles:</t>
  </si>
  <si>
    <t>Rust in Firefox memory 4000 particles:</t>
  </si>
  <si>
    <t>C++ in Firefox memory 4000 particles:</t>
  </si>
  <si>
    <t>C++ in Firefox memory 6000 particles:</t>
  </si>
  <si>
    <t>Rust in Firefox memory 6000 particles:</t>
  </si>
  <si>
    <t>C++ in Firefox memory 8000 particles:</t>
  </si>
  <si>
    <t>Rust in Firefox memory 8000 particles:</t>
  </si>
  <si>
    <t>C++ in Firefox memory 10000 particles:</t>
  </si>
  <si>
    <t>Rust in Firefox memory 10000 particles: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</si>
</sst>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1" fillId="0" borderId="1" xfId="0" applyFont="1" applyBorder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20"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8CA30-4F3C-432E-8479-AD07C8527357}" name="Table1" displayName="Table1" ref="A2:E9" totalsRowShown="0">
  <autoFilter ref="A2:E9" xr:uid="{3948CA30-4F3C-432E-8479-AD07C8527357}"/>
  <tableColumns count="5">
    <tableColumn id="1" xr3:uid="{6ABC1957-5D03-4118-A03C-55CCE0A3DE17}" name="Snapshot"/>
    <tableColumn id="2" xr3:uid="{C29B1912-3DB5-4BB5-9535-F5469ACDB739}" name="ArrayBuffer Size (MB)"/>
    <tableColumn id="3" xr3:uid="{B06ABBBF-2733-456A-859D-C7556E164CFB}" name="Total Heap Memory (MB)"/>
    <tableColumn id="7" xr3:uid="{D6FE7018-D634-4D7F-A0C0-3CD1A50204FF}" name="Heap without ArrayBuffer (MB)" dataDxfId="19">
      <calculatedColumnFormula>C3-B3</calculatedColumnFormula>
    </tableColumn>
    <tableColumn id="4" xr3:uid="{8E33240B-A404-4128-A937-1F80A6B01AD8}" name="ArrayBuffer % of Tot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CDA17-C005-4D30-B685-A407B73B472E}" name="Table14" displayName="Table14" ref="G2:K9" totalsRowShown="0">
  <autoFilter ref="G2:K9" xr:uid="{AC6CDA17-C005-4D30-B685-A407B73B472E}"/>
  <tableColumns count="5">
    <tableColumn id="1" xr3:uid="{DB0B34B2-A771-43A8-BF7C-4E8C82163494}" name="Snapshot"/>
    <tableColumn id="2" xr3:uid="{3268860B-CE87-4580-B12C-F5867B0FF60B}" name="ArrayBuffer Size (MB)"/>
    <tableColumn id="3" xr3:uid="{7A68249E-0D96-4E9C-BF1E-08474D8CC54C}" name="Total Heap Memory (MB)"/>
    <tableColumn id="5" xr3:uid="{874BC66A-24C5-46BB-92F9-F3D5AD8DD747}" name="Heap without ArrayBuffer (MB)" dataDxfId="18">
      <calculatedColumnFormula>I3-H3</calculatedColumnFormula>
    </tableColumn>
    <tableColumn id="4" xr3:uid="{491FE388-B265-4B48-AC31-32E6C0D8492E}" name="ArrayBuffer % of Tot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943BC-2105-489B-A0E1-F4BA4C9B008C}" name="Table146" displayName="Table146" ref="M2:Q9" totalsRowShown="0">
  <autoFilter ref="M2:Q9" xr:uid="{9E6943BC-2105-489B-A0E1-F4BA4C9B008C}"/>
  <tableColumns count="5">
    <tableColumn id="1" xr3:uid="{51EAAC3B-9532-4437-8639-FAA50E24E13D}" name="Snapshot"/>
    <tableColumn id="2" xr3:uid="{38AEF164-5EA8-46BF-AB9F-9E13CAC3E4E7}" name="ArrayBuffer Size (MB)"/>
    <tableColumn id="3" xr3:uid="{EB620C95-B460-4304-89D5-4FDFD67E2D65}" name="Total Heap Memory (MB)"/>
    <tableColumn id="5" xr3:uid="{3397C3CC-A3D8-425D-8507-B5A8333B292F}" name="Heap without ArrayBuffer (MB)" dataDxfId="17">
      <calculatedColumnFormula>O3-N3</calculatedColumnFormula>
    </tableColumn>
    <tableColumn id="4" xr3:uid="{CE403B80-A94F-4295-AC5D-A9F674C96E6B}" name="ArrayBuffer % of Tot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2C0B94-29E0-4ACF-B2B7-0AA8C6451D41}" name="Table1467" displayName="Table1467" ref="S2:W9" totalsRowShown="0">
  <autoFilter ref="S2:W9" xr:uid="{892C0B94-29E0-4ACF-B2B7-0AA8C6451D41}"/>
  <tableColumns count="5">
    <tableColumn id="1" xr3:uid="{8618A578-2D41-4A69-A340-256E3BA2C41E}" name="Snapshot"/>
    <tableColumn id="2" xr3:uid="{DE28EB2C-E89C-47E8-9B2E-4E211ED7B23C}" name="ArrayBuffer Size (MB)"/>
    <tableColumn id="3" xr3:uid="{5F1C7BF4-5E44-45E5-94FA-CA0D56F893F6}" name="Total Heap Memory (MB)"/>
    <tableColumn id="5" xr3:uid="{F595B5D3-F528-4A25-A96C-89010A03DC66}" name="Heap without ArrayBuffer (MB)" dataDxfId="16">
      <calculatedColumnFormula>U3-T3</calculatedColumnFormula>
    </tableColumn>
    <tableColumn id="4" xr3:uid="{70F71FE1-F06B-45FD-B60B-C694BC111572}" name="ArrayBuffer % of Tota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F24283-5850-4B8A-A68D-6E16FBEBA3BF}" name="Table14678" displayName="Table14678" ref="Y2:AC9" totalsRowShown="0">
  <autoFilter ref="Y2:AC9" xr:uid="{14F24283-5850-4B8A-A68D-6E16FBEBA3BF}"/>
  <tableColumns count="5">
    <tableColumn id="1" xr3:uid="{0D31ED94-CBC9-4A04-A3CD-74D104B10543}" name="Snapshot"/>
    <tableColumn id="2" xr3:uid="{E4B1BBB1-6488-4536-B7AD-7D5D7B1E2D37}" name="ArrayBuffer Size (MB)"/>
    <tableColumn id="3" xr3:uid="{0CE4D948-4955-466B-9383-536EC451C47E}" name="Total Heap Memory (MB)"/>
    <tableColumn id="5" xr3:uid="{5A554346-68E4-4428-9491-C546963F7364}" name="Heap without ArrayBuffer (MB)" dataDxfId="15">
      <calculatedColumnFormula>AA3-Z3</calculatedColumnFormula>
    </tableColumn>
    <tableColumn id="4" xr3:uid="{E2A75BCD-9C32-499E-8941-147A405E794A}" name="ArrayBuffer % of Tota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A76646-E936-4596-950D-D96ED2B5D848}" name="Table19" displayName="Table19" ref="A13:E20" totalsRowShown="0">
  <autoFilter ref="A13:E20" xr:uid="{B2A76646-E936-4596-950D-D96ED2B5D848}"/>
  <tableColumns count="5">
    <tableColumn id="1" xr3:uid="{C4D0472B-C216-456B-9131-E909A8FFC856}" name="Snapshot"/>
    <tableColumn id="2" xr3:uid="{BA48BEE8-36F2-4960-A109-70D736A0B1F9}" name="ArrayBuffer Size (MB)"/>
    <tableColumn id="3" xr3:uid="{BD8AD3A9-FA88-4E0A-BF50-576499CAF1DA}" name="Total Heap Memory (MB)"/>
    <tableColumn id="5" xr3:uid="{9060AC1A-0D05-46E6-9E39-678BD8E6C4D2}" name="Heap without ArrayBuffer (MB)" dataDxfId="14">
      <calculatedColumnFormula>C14-B14</calculatedColumnFormula>
    </tableColumn>
    <tableColumn id="4" xr3:uid="{AD7D8484-446E-4799-9EBB-5D17877F803E}" name="ArrayBuffer % of Total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7FE4B6-4C26-478D-B4B0-BAC91AC48189}" name="Table1910" displayName="Table1910" ref="G13:K20" totalsRowShown="0">
  <autoFilter ref="G13:K20" xr:uid="{817FE4B6-4C26-478D-B4B0-BAC91AC48189}"/>
  <tableColumns count="5">
    <tableColumn id="1" xr3:uid="{A02D8CC5-B368-4373-868C-961DE4CEF912}" name="Snapshot"/>
    <tableColumn id="2" xr3:uid="{8B08D925-C811-43A9-8D8B-433EE10791D7}" name="ArrayBuffer Size (MB)"/>
    <tableColumn id="3" xr3:uid="{76E76AC9-BEB3-495A-B72C-0BDD1FCCC670}" name="Total Heap Memory (MB)"/>
    <tableColumn id="5" xr3:uid="{FBAC7B55-1C8B-44E4-AF6C-B38F886A6175}" name="Heap without ArrayBuffer (MB)" dataDxfId="13">
      <calculatedColumnFormula>I14-H14</calculatedColumnFormula>
    </tableColumn>
    <tableColumn id="4" xr3:uid="{3D03B513-735D-4D75-9D71-D608E018F25E}" name="ArrayBuffer % of Total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AC1CD0-3CA7-468B-8628-F38ADC17C07B}" name="Table191011" displayName="Table191011" ref="M13:Q20" totalsRowShown="0">
  <autoFilter ref="M13:Q20" xr:uid="{72AC1CD0-3CA7-468B-8628-F38ADC17C07B}"/>
  <tableColumns count="5">
    <tableColumn id="1" xr3:uid="{76ACB473-23D6-4A63-8B9B-1069DFDF1003}" name="Snapshot"/>
    <tableColumn id="2" xr3:uid="{045CA9F9-0945-426D-94F8-80D66E898285}" name="ArrayBuffer Size (MB)"/>
    <tableColumn id="3" xr3:uid="{9E7B4DD4-826E-4E60-BFAE-093C72767A64}" name="Total Heap Memory (MB)"/>
    <tableColumn id="5" xr3:uid="{1D82A794-537D-4480-8C49-E04EF7EA1EE2}" name="Heap without ArrayBuffer (MB)" dataDxfId="12">
      <calculatedColumnFormula>O14-N14</calculatedColumnFormula>
    </tableColumn>
    <tableColumn id="4" xr3:uid="{CFA3246A-CFE3-439E-BFC3-907DD7995CFB}" name="ArrayBuffer % of Total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7D93D3-10A2-44CF-B691-FEC1B4938147}" name="Table19101112" displayName="Table19101112" ref="S13:W20" totalsRowShown="0">
  <autoFilter ref="S13:W20" xr:uid="{E37D93D3-10A2-44CF-B691-FEC1B4938147}"/>
  <tableColumns count="5">
    <tableColumn id="1" xr3:uid="{7755CB6F-1545-4B2D-A4E3-F76B3109DD07}" name="Snapshot"/>
    <tableColumn id="2" xr3:uid="{D877C9A6-DD9B-4CD3-9C57-37AD730557C2}" name="ArrayBuffer Size (MB)"/>
    <tableColumn id="3" xr3:uid="{A166DCB3-4150-4401-A289-7E66305450B9}" name="Total Heap Memory (MB)"/>
    <tableColumn id="5" xr3:uid="{01BADC5F-1F8C-4ADF-A8CE-CA64B0CB1EF7}" name="Heap without ArrayBuffer (MB)" dataDxfId="11">
      <calculatedColumnFormula>U14-T14</calculatedColumnFormula>
    </tableColumn>
    <tableColumn id="4" xr3:uid="{175310FF-2DC1-497F-84DA-33B88104F58D}" name="ArrayBuffer % of Total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FC5950-F038-41A6-8E01-EFA957F41688}" name="Table1910111213" displayName="Table1910111213" ref="Y13:AC20" totalsRowShown="0">
  <autoFilter ref="Y13:AC20" xr:uid="{B6FC5950-F038-41A6-8E01-EFA957F41688}"/>
  <tableColumns count="5">
    <tableColumn id="1" xr3:uid="{D0FA21B0-97AE-4607-B500-41E3C925382A}" name="Snapshot"/>
    <tableColumn id="2" xr3:uid="{71DB07DF-A1DC-4A5E-B9E4-A685C2F3E18A}" name="ArrayBuffer Size (MB)"/>
    <tableColumn id="3" xr3:uid="{A81F1006-7727-45B9-A045-18E4F600759A}" name="Total Heap Memory (MB)"/>
    <tableColumn id="5" xr3:uid="{38D2F5FF-319C-4C1E-A014-5D03C42F05FA}" name="Heap without ArrayBuffer (MB)" dataDxfId="10">
      <calculatedColumnFormula>AA14-Z14</calculatedColumnFormula>
    </tableColumn>
    <tableColumn id="4" xr3:uid="{B79D5D7E-2DF3-4653-AA76-491305497369}" name="ArrayBuffer % of Total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B3BFF2-AAD1-4C84-BB95-C1BFC7DD64CC}" name="Table15" displayName="Table15" ref="A24:C29" totalsRowShown="0" headerRowDxfId="9" headerRowBorderDxfId="8" tableBorderDxfId="7">
  <autoFilter ref="A24:C29" xr:uid="{E2B3BFF2-AAD1-4C84-BB95-C1BFC7DD64CC}"/>
  <tableColumns count="3">
    <tableColumn id="1" xr3:uid="{181CFCA7-4579-480E-BA14-65F981F7119D}" name="Particles"/>
    <tableColumn id="2" xr3:uid="{41461FB3-2FE0-4D9E-BF2A-24501B8B2185}" name="C++ Total Average ArrayBuffer Size (MB)"/>
    <tableColumn id="3" xr3:uid="{A9F2BA6E-552D-4E0D-AB38-7A03ADF445CA}" name="Rust Total Average ArrayBuffer Size (MB)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6B61A73-83C5-4E70-BF83-B83C870664F0}" name="Table1517" displayName="Table1517" ref="E24:G29" totalsRowShown="0" headerRowDxfId="6" headerRowBorderDxfId="5" tableBorderDxfId="4">
  <autoFilter ref="E24:G29" xr:uid="{06B61A73-83C5-4E70-BF83-B83C870664F0}"/>
  <tableColumns count="3">
    <tableColumn id="1" xr3:uid="{DCFF7BA7-4A66-48BD-B8EA-FFF0F7066F1E}" name="Particles"/>
    <tableColumn id="2" xr3:uid="{4084CE43-10AE-4B5F-AAE1-297CBEE70894}" name="C++ Total Average Heap Memory (MB)"/>
    <tableColumn id="3" xr3:uid="{C3DBAA94-254E-487A-9D29-9549DEA0F471}" name="Rust Total Average Heap Memory (MB))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A761298-92D0-4E30-95C2-2C4D7B2A838C}" name="Table151718" displayName="Table151718" ref="I24:K29" totalsRowShown="0" headerRowDxfId="3" headerRowBorderDxfId="2" tableBorderDxfId="1">
  <autoFilter ref="I24:K29" xr:uid="{0A761298-92D0-4E30-95C2-2C4D7B2A838C}"/>
  <tableColumns count="3">
    <tableColumn id="1" xr3:uid="{B375C2A9-D380-4A0E-8BA9-9C5827977BBA}" name="Particles"/>
    <tableColumn id="2" xr3:uid="{9BADC95B-4F69-4FD1-9536-2972E41978E1}" name="C++ ArrayBuffer % of Total Average"/>
    <tableColumn id="3" xr3:uid="{778B22DC-366D-4799-B9BA-9E8665559878}" name="Rust ArrayBuffer % of Total Averag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81C4C-8144-4929-A814-8641FDF16C42}" name="Table4" displayName="Table4" ref="M24:O29" totalsRowShown="0">
  <autoFilter ref="M24:O29" xr:uid="{54C81C4C-8144-4929-A814-8641FDF16C42}"/>
  <tableColumns count="3">
    <tableColumn id="1" xr3:uid="{99230999-5134-4660-8552-2D4C16D1FAD7}" name="Particles"/>
    <tableColumn id="2" xr3:uid="{470C9E9C-1B9A-4B71-B5A0-31E80B849928}" name="C++ Heap without ArrayBuffer (MB)" dataDxfId="0"/>
    <tableColumn id="3" xr3:uid="{F0EA3D17-17C7-475C-9464-1B81B4F764C1}" name="Rust Heap without ArrayBuffer (MB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"/>
  <sheetViews>
    <sheetView tabSelected="1" zoomScale="65" workbookViewId="0">
      <selection activeCell="C36" sqref="C36"/>
    </sheetView>
  </sheetViews>
  <sheetFormatPr defaultRowHeight="14.4" x14ac:dyDescent="0.3"/>
  <cols>
    <col min="1" max="1" width="37.6640625" customWidth="1"/>
    <col min="2" max="2" width="38.88671875" customWidth="1"/>
    <col min="3" max="3" width="46.33203125" customWidth="1"/>
    <col min="4" max="4" width="33.33203125" customWidth="1"/>
    <col min="5" max="5" width="24.88671875" customWidth="1"/>
    <col min="6" max="6" width="36.5546875" customWidth="1"/>
    <col min="7" max="7" width="37.88671875" customWidth="1"/>
    <col min="8" max="8" width="40" customWidth="1"/>
    <col min="9" max="9" width="25.44140625" customWidth="1"/>
    <col min="10" max="10" width="32.33203125" customWidth="1"/>
    <col min="11" max="11" width="39.77734375" customWidth="1"/>
    <col min="12" max="12" width="36" customWidth="1"/>
    <col min="13" max="13" width="44" customWidth="1"/>
    <col min="14" max="14" width="35" customWidth="1"/>
    <col min="15" max="15" width="35.109375" customWidth="1"/>
    <col min="16" max="16" width="35.77734375" customWidth="1"/>
    <col min="17" max="17" width="23.88671875" customWidth="1"/>
    <col min="18" max="18" width="25.6640625" customWidth="1"/>
    <col min="19" max="19" width="37.88671875" customWidth="1"/>
    <col min="20" max="20" width="23.109375" customWidth="1"/>
    <col min="21" max="21" width="27.44140625" customWidth="1"/>
    <col min="22" max="22" width="35.109375" customWidth="1"/>
    <col min="23" max="23" width="24.5546875" customWidth="1"/>
    <col min="24" max="24" width="23.88671875" customWidth="1"/>
    <col min="25" max="25" width="38" customWidth="1"/>
    <col min="26" max="26" width="22.88671875" customWidth="1"/>
    <col min="27" max="27" width="26.77734375" customWidth="1"/>
    <col min="28" max="28" width="34.6640625" customWidth="1"/>
    <col min="29" max="29" width="25.44140625" customWidth="1"/>
  </cols>
  <sheetData>
    <row r="1" spans="1:29" x14ac:dyDescent="0.3">
      <c r="A1" t="s">
        <v>29</v>
      </c>
      <c r="G1" t="s">
        <v>32</v>
      </c>
      <c r="M1" t="s">
        <v>33</v>
      </c>
      <c r="S1" t="s">
        <v>35</v>
      </c>
      <c r="Y1" t="s">
        <v>37</v>
      </c>
    </row>
    <row r="2" spans="1:29" x14ac:dyDescent="0.3">
      <c r="A2" t="s">
        <v>5</v>
      </c>
      <c r="B2" t="s">
        <v>11</v>
      </c>
      <c r="C2" t="s">
        <v>12</v>
      </c>
      <c r="D2" t="s">
        <v>25</v>
      </c>
      <c r="E2" t="s">
        <v>13</v>
      </c>
      <c r="G2" t="s">
        <v>5</v>
      </c>
      <c r="H2" t="s">
        <v>11</v>
      </c>
      <c r="I2" t="s">
        <v>12</v>
      </c>
      <c r="J2" t="s">
        <v>25</v>
      </c>
      <c r="K2" t="s">
        <v>13</v>
      </c>
      <c r="M2" t="s">
        <v>5</v>
      </c>
      <c r="N2" t="s">
        <v>11</v>
      </c>
      <c r="O2" t="s">
        <v>12</v>
      </c>
      <c r="P2" t="s">
        <v>25</v>
      </c>
      <c r="Q2" t="s">
        <v>13</v>
      </c>
      <c r="S2" t="s">
        <v>5</v>
      </c>
      <c r="T2" t="s">
        <v>11</v>
      </c>
      <c r="U2" t="s">
        <v>12</v>
      </c>
      <c r="V2" t="s">
        <v>25</v>
      </c>
      <c r="W2" t="s">
        <v>13</v>
      </c>
      <c r="Y2" t="s">
        <v>5</v>
      </c>
      <c r="Z2" t="s">
        <v>11</v>
      </c>
      <c r="AA2" t="s">
        <v>12</v>
      </c>
      <c r="AB2" t="s">
        <v>25</v>
      </c>
      <c r="AC2" t="s">
        <v>13</v>
      </c>
    </row>
    <row r="3" spans="1:29" x14ac:dyDescent="0.3">
      <c r="A3" t="s">
        <v>6</v>
      </c>
      <c r="B3">
        <v>17.05</v>
      </c>
      <c r="C3">
        <v>22.5</v>
      </c>
      <c r="D3">
        <f>C3-B3</f>
        <v>5.4499999999999993</v>
      </c>
      <c r="E3" s="2">
        <f>B3/C3</f>
        <v>0.75777777777777777</v>
      </c>
      <c r="G3" t="s">
        <v>6</v>
      </c>
      <c r="H3">
        <v>17.18</v>
      </c>
      <c r="I3">
        <v>22.4</v>
      </c>
      <c r="J3">
        <f t="shared" ref="J3:J7" si="0">I3-H3</f>
        <v>5.2199999999999989</v>
      </c>
      <c r="K3" s="2">
        <f>H3/I3</f>
        <v>0.76696428571428577</v>
      </c>
      <c r="M3" t="s">
        <v>6</v>
      </c>
      <c r="N3">
        <v>17.309999999999999</v>
      </c>
      <c r="O3">
        <v>22.3</v>
      </c>
      <c r="P3">
        <f t="shared" ref="P3:P7" si="1">O3-N3</f>
        <v>4.990000000000002</v>
      </c>
      <c r="Q3" s="2">
        <f>N3/O3</f>
        <v>0.7762331838565022</v>
      </c>
      <c r="S3" t="s">
        <v>6</v>
      </c>
      <c r="T3">
        <v>17.440000000000001</v>
      </c>
      <c r="U3">
        <v>22.2</v>
      </c>
      <c r="V3">
        <f t="shared" ref="V3:V7" si="2">U3-T3</f>
        <v>4.759999999999998</v>
      </c>
      <c r="W3" s="2">
        <f>T3/U3</f>
        <v>0.78558558558558567</v>
      </c>
      <c r="Y3" t="s">
        <v>6</v>
      </c>
      <c r="Z3">
        <v>17.57</v>
      </c>
      <c r="AA3">
        <v>22.3</v>
      </c>
      <c r="AB3">
        <f t="shared" ref="AB3:AB7" si="3">AA3-Z3</f>
        <v>4.7300000000000004</v>
      </c>
      <c r="AC3" s="2">
        <f>Z3/AA3</f>
        <v>0.78789237668161438</v>
      </c>
    </row>
    <row r="4" spans="1:29" x14ac:dyDescent="0.3">
      <c r="A4" t="s">
        <v>7</v>
      </c>
      <c r="B4">
        <v>17.05</v>
      </c>
      <c r="C4">
        <v>22.9</v>
      </c>
      <c r="D4">
        <f>C4-B4</f>
        <v>5.8499999999999979</v>
      </c>
      <c r="E4" s="2">
        <f>B4/C4</f>
        <v>0.74454148471615733</v>
      </c>
      <c r="G4" t="s">
        <v>7</v>
      </c>
      <c r="H4">
        <v>17.18</v>
      </c>
      <c r="I4">
        <v>22.6</v>
      </c>
      <c r="J4">
        <f t="shared" si="0"/>
        <v>5.4200000000000017</v>
      </c>
      <c r="K4" s="2">
        <f>H4/I4</f>
        <v>0.76017699115044246</v>
      </c>
      <c r="M4" t="s">
        <v>7</v>
      </c>
      <c r="N4">
        <v>17.309999999999999</v>
      </c>
      <c r="O4">
        <v>22.4</v>
      </c>
      <c r="P4">
        <f t="shared" si="1"/>
        <v>5.09</v>
      </c>
      <c r="Q4" s="2">
        <f>N4/O4</f>
        <v>0.77276785714285712</v>
      </c>
      <c r="S4" t="s">
        <v>7</v>
      </c>
      <c r="T4">
        <v>17.440000000000001</v>
      </c>
      <c r="U4">
        <v>22.2</v>
      </c>
      <c r="V4">
        <f t="shared" si="2"/>
        <v>4.759999999999998</v>
      </c>
      <c r="W4" s="2">
        <f>T4/U4</f>
        <v>0.78558558558558567</v>
      </c>
      <c r="Y4" t="s">
        <v>7</v>
      </c>
      <c r="Z4">
        <v>17.57</v>
      </c>
      <c r="AA4">
        <v>22.4</v>
      </c>
      <c r="AB4">
        <f t="shared" si="3"/>
        <v>4.8299999999999983</v>
      </c>
      <c r="AC4" s="2">
        <f>Z4/AA4</f>
        <v>0.78437500000000004</v>
      </c>
    </row>
    <row r="5" spans="1:29" x14ac:dyDescent="0.3">
      <c r="A5" t="s">
        <v>8</v>
      </c>
      <c r="B5">
        <v>17.05</v>
      </c>
      <c r="C5">
        <v>23.3</v>
      </c>
      <c r="D5">
        <f>C5-B5</f>
        <v>6.25</v>
      </c>
      <c r="E5" s="2">
        <f>B5/C5</f>
        <v>0.73175965665236054</v>
      </c>
      <c r="G5" t="s">
        <v>8</v>
      </c>
      <c r="H5">
        <v>17.18</v>
      </c>
      <c r="I5">
        <v>22.7</v>
      </c>
      <c r="J5">
        <f t="shared" si="0"/>
        <v>5.52</v>
      </c>
      <c r="K5" s="2">
        <f>H5/I5</f>
        <v>0.75682819383259914</v>
      </c>
      <c r="M5" t="s">
        <v>8</v>
      </c>
      <c r="N5">
        <v>17.309999999999999</v>
      </c>
      <c r="O5">
        <v>22.5</v>
      </c>
      <c r="P5">
        <f t="shared" si="1"/>
        <v>5.1900000000000013</v>
      </c>
      <c r="Q5" s="2">
        <f>N5/O5</f>
        <v>0.76933333333333331</v>
      </c>
      <c r="S5" t="s">
        <v>8</v>
      </c>
      <c r="T5">
        <v>17.440000000000001</v>
      </c>
      <c r="U5">
        <v>22.5</v>
      </c>
      <c r="V5">
        <f t="shared" si="2"/>
        <v>5.0599999999999987</v>
      </c>
      <c r="W5" s="2">
        <f>T5/U5</f>
        <v>0.7751111111111112</v>
      </c>
      <c r="Y5" t="s">
        <v>8</v>
      </c>
      <c r="Z5">
        <v>17.57</v>
      </c>
      <c r="AA5">
        <v>22.4</v>
      </c>
      <c r="AB5">
        <f t="shared" si="3"/>
        <v>4.8299999999999983</v>
      </c>
      <c r="AC5" s="2">
        <f>Z5/AA5</f>
        <v>0.78437500000000004</v>
      </c>
    </row>
    <row r="6" spans="1:29" x14ac:dyDescent="0.3">
      <c r="A6" t="s">
        <v>9</v>
      </c>
      <c r="B6">
        <v>17.05</v>
      </c>
      <c r="C6">
        <v>23.9</v>
      </c>
      <c r="D6">
        <f>C6-B6</f>
        <v>6.8499999999999979</v>
      </c>
      <c r="E6" s="2">
        <f>B6/C6</f>
        <v>0.71338912133891219</v>
      </c>
      <c r="G6" t="s">
        <v>9</v>
      </c>
      <c r="H6">
        <v>17.18</v>
      </c>
      <c r="I6">
        <v>23</v>
      </c>
      <c r="J6">
        <f t="shared" si="0"/>
        <v>5.82</v>
      </c>
      <c r="K6" s="2">
        <f>H6/I6</f>
        <v>0.74695652173913041</v>
      </c>
      <c r="M6" t="s">
        <v>9</v>
      </c>
      <c r="N6">
        <v>17.309999999999999</v>
      </c>
      <c r="O6">
        <v>22.6</v>
      </c>
      <c r="P6">
        <f t="shared" si="1"/>
        <v>5.2900000000000027</v>
      </c>
      <c r="Q6" s="2">
        <f>N6/O6</f>
        <v>0.76592920353982286</v>
      </c>
      <c r="S6" t="s">
        <v>9</v>
      </c>
      <c r="T6">
        <v>17.440000000000001</v>
      </c>
      <c r="U6">
        <v>22.6</v>
      </c>
      <c r="V6">
        <f t="shared" si="2"/>
        <v>5.16</v>
      </c>
      <c r="W6" s="2">
        <f>T6/U6</f>
        <v>0.77168141592920358</v>
      </c>
      <c r="Y6" t="s">
        <v>9</v>
      </c>
      <c r="Z6">
        <v>17.57</v>
      </c>
      <c r="AA6">
        <v>22.7</v>
      </c>
      <c r="AB6">
        <f t="shared" si="3"/>
        <v>5.129999999999999</v>
      </c>
      <c r="AC6" s="2">
        <f>Z6/AA6</f>
        <v>0.77400881057268722</v>
      </c>
    </row>
    <row r="7" spans="1:29" x14ac:dyDescent="0.3">
      <c r="A7" t="s">
        <v>10</v>
      </c>
      <c r="B7">
        <v>17.05</v>
      </c>
      <c r="C7">
        <v>24.2</v>
      </c>
      <c r="D7">
        <f>C7-B7</f>
        <v>7.1499999999999986</v>
      </c>
      <c r="E7" s="2">
        <f>B7/C7</f>
        <v>0.70454545454545459</v>
      </c>
      <c r="G7" t="s">
        <v>10</v>
      </c>
      <c r="H7">
        <v>17.18</v>
      </c>
      <c r="I7">
        <v>23.3</v>
      </c>
      <c r="J7">
        <f t="shared" si="0"/>
        <v>6.120000000000001</v>
      </c>
      <c r="K7" s="2">
        <f>H7/I7</f>
        <v>0.73733905579399139</v>
      </c>
      <c r="M7" t="s">
        <v>10</v>
      </c>
      <c r="N7">
        <v>17.309999999999999</v>
      </c>
      <c r="O7">
        <v>22</v>
      </c>
      <c r="P7">
        <f t="shared" si="1"/>
        <v>4.6900000000000013</v>
      </c>
      <c r="Q7" s="2">
        <f>N7/O7</f>
        <v>0.78681818181818175</v>
      </c>
      <c r="S7" t="s">
        <v>10</v>
      </c>
      <c r="T7">
        <v>17.440000000000001</v>
      </c>
      <c r="U7">
        <v>22.7</v>
      </c>
      <c r="V7">
        <f t="shared" si="2"/>
        <v>5.259999999999998</v>
      </c>
      <c r="W7" s="2">
        <f>T7/U7</f>
        <v>0.76828193832599123</v>
      </c>
      <c r="Y7" t="s">
        <v>10</v>
      </c>
      <c r="Z7">
        <v>17.57</v>
      </c>
      <c r="AA7">
        <v>22.7</v>
      </c>
      <c r="AB7">
        <f t="shared" si="3"/>
        <v>5.129999999999999</v>
      </c>
      <c r="AC7" s="2">
        <f>Z7/AA7</f>
        <v>0.77400881057268722</v>
      </c>
    </row>
    <row r="9" spans="1:29" x14ac:dyDescent="0.3">
      <c r="A9" t="s">
        <v>14</v>
      </c>
      <c r="B9">
        <f>AVERAGE(B3:B7)</f>
        <v>17.05</v>
      </c>
      <c r="C9">
        <f>AVERAGE(C3:C7)</f>
        <v>23.36</v>
      </c>
      <c r="D9">
        <f>C9-B9</f>
        <v>6.3099999999999987</v>
      </c>
      <c r="E9" s="2">
        <f>AVERAGE(E3:E7)</f>
        <v>0.73040269900613242</v>
      </c>
      <c r="G9" t="s">
        <v>14</v>
      </c>
      <c r="H9">
        <f>AVERAGE(H3:H7)</f>
        <v>17.18</v>
      </c>
      <c r="I9">
        <f>AVERAGE(I3:I7)</f>
        <v>22.8</v>
      </c>
      <c r="J9">
        <f>I9-H9</f>
        <v>5.620000000000001</v>
      </c>
      <c r="K9" s="2">
        <f>AVERAGE(K3:K7)</f>
        <v>0.75365300964608983</v>
      </c>
      <c r="M9" t="s">
        <v>14</v>
      </c>
      <c r="N9">
        <f>AVERAGE(N3:N7)</f>
        <v>17.309999999999999</v>
      </c>
      <c r="O9">
        <f>AVERAGE(O3:O7)</f>
        <v>22.360000000000003</v>
      </c>
      <c r="P9">
        <f>O9-N9</f>
        <v>5.0500000000000043</v>
      </c>
      <c r="Q9" s="2">
        <f>AVERAGE(Q3:Q7)</f>
        <v>0.77421635193813931</v>
      </c>
      <c r="S9" t="s">
        <v>14</v>
      </c>
      <c r="T9">
        <f>AVERAGE(T3:T7)</f>
        <v>17.440000000000001</v>
      </c>
      <c r="U9">
        <f>AVERAGE(U3:U7)</f>
        <v>22.44</v>
      </c>
      <c r="V9">
        <f>U9-T9</f>
        <v>5</v>
      </c>
      <c r="W9" s="2">
        <f>AVERAGE(W3:W7)</f>
        <v>0.7772491273074954</v>
      </c>
      <c r="Y9" t="s">
        <v>14</v>
      </c>
      <c r="Z9">
        <f>AVERAGE(Z3:Z7)</f>
        <v>17.57</v>
      </c>
      <c r="AA9">
        <f>AVERAGE(AA3:AA7)</f>
        <v>22.5</v>
      </c>
      <c r="AB9">
        <f>AA9-Z9</f>
        <v>4.93</v>
      </c>
      <c r="AC9" s="2">
        <f>AVERAGE(AC3:AC7)</f>
        <v>0.78093199956539794</v>
      </c>
    </row>
    <row r="12" spans="1:29" x14ac:dyDescent="0.3">
      <c r="A12" t="s">
        <v>30</v>
      </c>
      <c r="G12" t="s">
        <v>31</v>
      </c>
      <c r="M12" t="s">
        <v>34</v>
      </c>
      <c r="S12" t="s">
        <v>36</v>
      </c>
      <c r="Y12" t="s">
        <v>38</v>
      </c>
    </row>
    <row r="13" spans="1:29" x14ac:dyDescent="0.3">
      <c r="A13" t="s">
        <v>5</v>
      </c>
      <c r="B13" t="s">
        <v>11</v>
      </c>
      <c r="C13" t="s">
        <v>12</v>
      </c>
      <c r="D13" t="s">
        <v>25</v>
      </c>
      <c r="E13" t="s">
        <v>13</v>
      </c>
      <c r="G13" t="s">
        <v>5</v>
      </c>
      <c r="H13" t="s">
        <v>11</v>
      </c>
      <c r="I13" t="s">
        <v>12</v>
      </c>
      <c r="J13" t="s">
        <v>25</v>
      </c>
      <c r="K13" t="s">
        <v>13</v>
      </c>
      <c r="M13" t="s">
        <v>5</v>
      </c>
      <c r="N13" t="s">
        <v>11</v>
      </c>
      <c r="O13" t="s">
        <v>12</v>
      </c>
      <c r="P13" t="s">
        <v>25</v>
      </c>
      <c r="Q13" t="s">
        <v>13</v>
      </c>
      <c r="S13" t="s">
        <v>5</v>
      </c>
      <c r="T13" t="s">
        <v>11</v>
      </c>
      <c r="U13" t="s">
        <v>12</v>
      </c>
      <c r="V13" t="s">
        <v>25</v>
      </c>
      <c r="W13" t="s">
        <v>13</v>
      </c>
      <c r="Y13" t="s">
        <v>5</v>
      </c>
      <c r="Z13" t="s">
        <v>11</v>
      </c>
      <c r="AA13" t="s">
        <v>12</v>
      </c>
      <c r="AB13" t="s">
        <v>25</v>
      </c>
      <c r="AC13" t="s">
        <v>13</v>
      </c>
    </row>
    <row r="14" spans="1:29" x14ac:dyDescent="0.3">
      <c r="A14" t="s">
        <v>6</v>
      </c>
      <c r="B14">
        <v>1.33</v>
      </c>
      <c r="C14">
        <v>6.8</v>
      </c>
      <c r="D14">
        <f t="shared" ref="D14:D18" si="4">C14-B14</f>
        <v>5.47</v>
      </c>
      <c r="E14" s="2">
        <f>B14/C14</f>
        <v>0.19558823529411767</v>
      </c>
      <c r="G14" t="s">
        <v>6</v>
      </c>
      <c r="H14">
        <v>1.52</v>
      </c>
      <c r="I14">
        <v>6.8</v>
      </c>
      <c r="J14">
        <f t="shared" ref="J14:J18" si="5">I14-H14</f>
        <v>5.2799999999999994</v>
      </c>
      <c r="K14" s="2">
        <f>H14/I14</f>
        <v>0.22352941176470589</v>
      </c>
      <c r="M14" t="s">
        <v>6</v>
      </c>
      <c r="N14">
        <v>1.78</v>
      </c>
      <c r="O14">
        <v>6.8</v>
      </c>
      <c r="P14">
        <f t="shared" ref="P14:P18" si="6">O14-N14</f>
        <v>5.0199999999999996</v>
      </c>
      <c r="Q14" s="2">
        <f>N14/O14</f>
        <v>0.26176470588235295</v>
      </c>
      <c r="S14" t="s">
        <v>6</v>
      </c>
      <c r="T14">
        <v>1.91</v>
      </c>
      <c r="U14">
        <v>6.7</v>
      </c>
      <c r="V14">
        <f t="shared" ref="V14:V18" si="7">U14-T14</f>
        <v>4.79</v>
      </c>
      <c r="W14" s="2">
        <f>T14/U14</f>
        <v>0.28507462686567164</v>
      </c>
      <c r="Y14" t="s">
        <v>6</v>
      </c>
      <c r="Z14">
        <v>2</v>
      </c>
      <c r="AA14">
        <v>6.7</v>
      </c>
      <c r="AB14">
        <f t="shared" ref="AB14:AB18" si="8">AA14-Z14</f>
        <v>4.7</v>
      </c>
      <c r="AC14" s="2">
        <f>Z14/AA14</f>
        <v>0.29850746268656714</v>
      </c>
    </row>
    <row r="15" spans="1:29" x14ac:dyDescent="0.3">
      <c r="A15" t="s">
        <v>7</v>
      </c>
      <c r="B15">
        <v>1.33</v>
      </c>
      <c r="C15">
        <v>7.2</v>
      </c>
      <c r="D15">
        <f t="shared" si="4"/>
        <v>5.87</v>
      </c>
      <c r="E15" s="2">
        <f>B15/C15</f>
        <v>0.18472222222222223</v>
      </c>
      <c r="G15" t="s">
        <v>7</v>
      </c>
      <c r="H15">
        <v>1.52</v>
      </c>
      <c r="I15">
        <v>7</v>
      </c>
      <c r="J15">
        <f t="shared" si="5"/>
        <v>5.48</v>
      </c>
      <c r="K15" s="2">
        <f>H15/I15</f>
        <v>0.21714285714285714</v>
      </c>
      <c r="M15" t="s">
        <v>7</v>
      </c>
      <c r="N15">
        <v>1.78</v>
      </c>
      <c r="O15">
        <v>6.9</v>
      </c>
      <c r="P15">
        <f t="shared" si="6"/>
        <v>5.12</v>
      </c>
      <c r="Q15" s="2">
        <f>N15/O15</f>
        <v>0.25797101449275361</v>
      </c>
      <c r="S15" t="s">
        <v>7</v>
      </c>
      <c r="T15">
        <v>1.91</v>
      </c>
      <c r="U15">
        <v>6.9</v>
      </c>
      <c r="V15">
        <f t="shared" si="7"/>
        <v>4.99</v>
      </c>
      <c r="W15" s="2">
        <f>T15/U15</f>
        <v>0.27681159420289853</v>
      </c>
      <c r="Y15" t="s">
        <v>7</v>
      </c>
      <c r="Z15">
        <v>2</v>
      </c>
      <c r="AA15">
        <v>6.8</v>
      </c>
      <c r="AB15">
        <f t="shared" si="8"/>
        <v>4.8</v>
      </c>
      <c r="AC15" s="2">
        <f>Z15/AA15</f>
        <v>0.29411764705882354</v>
      </c>
    </row>
    <row r="16" spans="1:29" x14ac:dyDescent="0.3">
      <c r="A16" t="s">
        <v>8</v>
      </c>
      <c r="B16">
        <v>1.33</v>
      </c>
      <c r="C16">
        <v>7.6</v>
      </c>
      <c r="D16">
        <f t="shared" si="4"/>
        <v>6.27</v>
      </c>
      <c r="E16" s="2">
        <f>B16/C16</f>
        <v>0.17500000000000002</v>
      </c>
      <c r="G16" t="s">
        <v>8</v>
      </c>
      <c r="H16">
        <v>1.52</v>
      </c>
      <c r="I16">
        <v>7.2</v>
      </c>
      <c r="J16">
        <f t="shared" si="5"/>
        <v>5.68</v>
      </c>
      <c r="K16" s="2">
        <f>H16/I16</f>
        <v>0.21111111111111111</v>
      </c>
      <c r="M16" t="s">
        <v>8</v>
      </c>
      <c r="N16">
        <v>1.78</v>
      </c>
      <c r="O16">
        <v>7</v>
      </c>
      <c r="P16">
        <f t="shared" si="6"/>
        <v>5.22</v>
      </c>
      <c r="Q16" s="2">
        <f>N16/O16</f>
        <v>0.25428571428571428</v>
      </c>
      <c r="S16" t="s">
        <v>8</v>
      </c>
      <c r="T16">
        <v>1.91</v>
      </c>
      <c r="U16">
        <v>7</v>
      </c>
      <c r="V16">
        <f t="shared" si="7"/>
        <v>5.09</v>
      </c>
      <c r="W16" s="2">
        <f>T16/U16</f>
        <v>0.27285714285714285</v>
      </c>
      <c r="Y16" t="s">
        <v>8</v>
      </c>
      <c r="Z16">
        <v>2</v>
      </c>
      <c r="AA16">
        <v>6.8</v>
      </c>
      <c r="AB16">
        <f t="shared" si="8"/>
        <v>4.8</v>
      </c>
      <c r="AC16" s="2">
        <f>Z16/AA16</f>
        <v>0.29411764705882354</v>
      </c>
    </row>
    <row r="17" spans="1:29" x14ac:dyDescent="0.3">
      <c r="A17" t="s">
        <v>9</v>
      </c>
      <c r="B17">
        <v>1.33</v>
      </c>
      <c r="C17">
        <v>8.1999999999999993</v>
      </c>
      <c r="D17">
        <f t="shared" si="4"/>
        <v>6.8699999999999992</v>
      </c>
      <c r="E17" s="2">
        <f>B17/C17</f>
        <v>0.16219512195121955</v>
      </c>
      <c r="G17" t="s">
        <v>9</v>
      </c>
      <c r="H17">
        <v>1.52</v>
      </c>
      <c r="I17">
        <v>7.5</v>
      </c>
      <c r="J17">
        <f t="shared" si="5"/>
        <v>5.98</v>
      </c>
      <c r="K17" s="2">
        <f>H17/I17</f>
        <v>0.20266666666666666</v>
      </c>
      <c r="M17" t="s">
        <v>9</v>
      </c>
      <c r="N17">
        <v>1.78</v>
      </c>
      <c r="O17">
        <v>7.2</v>
      </c>
      <c r="P17">
        <f t="shared" si="6"/>
        <v>5.42</v>
      </c>
      <c r="Q17" s="2">
        <f>N17/O17</f>
        <v>0.24722222222222223</v>
      </c>
      <c r="S17" t="s">
        <v>9</v>
      </c>
      <c r="T17">
        <v>1.91</v>
      </c>
      <c r="U17">
        <v>7.1</v>
      </c>
      <c r="V17">
        <f t="shared" si="7"/>
        <v>5.1899999999999995</v>
      </c>
      <c r="W17" s="2">
        <f>T17/U17</f>
        <v>0.26901408450704223</v>
      </c>
      <c r="Y17" t="s">
        <v>9</v>
      </c>
      <c r="Z17">
        <v>2</v>
      </c>
      <c r="AA17">
        <v>7.9</v>
      </c>
      <c r="AB17">
        <f t="shared" si="8"/>
        <v>5.9</v>
      </c>
      <c r="AC17" s="2">
        <f>Z17/AA17</f>
        <v>0.25316455696202528</v>
      </c>
    </row>
    <row r="18" spans="1:29" x14ac:dyDescent="0.3">
      <c r="A18" t="s">
        <v>10</v>
      </c>
      <c r="B18">
        <v>1.33</v>
      </c>
      <c r="C18">
        <v>8.6</v>
      </c>
      <c r="D18">
        <f t="shared" si="4"/>
        <v>7.27</v>
      </c>
      <c r="E18" s="2">
        <f>B18/C18</f>
        <v>0.15465116279069768</v>
      </c>
      <c r="G18" t="s">
        <v>10</v>
      </c>
      <c r="H18">
        <v>1.52</v>
      </c>
      <c r="I18">
        <v>7.7</v>
      </c>
      <c r="J18">
        <f t="shared" si="5"/>
        <v>6.18</v>
      </c>
      <c r="K18" s="2">
        <f>H18/I18</f>
        <v>0.19740259740259741</v>
      </c>
      <c r="M18" t="s">
        <v>10</v>
      </c>
      <c r="N18">
        <v>1.78</v>
      </c>
      <c r="O18">
        <v>7.2</v>
      </c>
      <c r="P18">
        <f t="shared" si="6"/>
        <v>5.42</v>
      </c>
      <c r="Q18" s="2">
        <f>N18/O18</f>
        <v>0.24722222222222223</v>
      </c>
      <c r="S18" t="s">
        <v>10</v>
      </c>
      <c r="T18">
        <v>1.91</v>
      </c>
      <c r="U18">
        <v>7.2</v>
      </c>
      <c r="V18">
        <f t="shared" si="7"/>
        <v>5.29</v>
      </c>
      <c r="W18" s="2">
        <f>T18/U18</f>
        <v>0.26527777777777778</v>
      </c>
      <c r="Y18" t="s">
        <v>10</v>
      </c>
      <c r="Z18">
        <v>2</v>
      </c>
      <c r="AA18">
        <v>7.2</v>
      </c>
      <c r="AB18">
        <f t="shared" si="8"/>
        <v>5.2</v>
      </c>
      <c r="AC18" s="2">
        <f>Z18/AA18</f>
        <v>0.27777777777777779</v>
      </c>
    </row>
    <row r="20" spans="1:29" x14ac:dyDescent="0.3">
      <c r="A20" t="s">
        <v>14</v>
      </c>
      <c r="B20">
        <f>AVERAGE(B14:B18)</f>
        <v>1.33</v>
      </c>
      <c r="C20">
        <f>AVERAGE(C14:C18)</f>
        <v>7.68</v>
      </c>
      <c r="D20">
        <f>C20-B20</f>
        <v>6.35</v>
      </c>
      <c r="E20" s="2">
        <f>AVERAGE(E14:E18)</f>
        <v>0.17443134845165142</v>
      </c>
      <c r="G20" t="s">
        <v>14</v>
      </c>
      <c r="H20">
        <f>AVERAGE(H14:H18)</f>
        <v>1.52</v>
      </c>
      <c r="I20">
        <f>AVERAGE(I14:I18)</f>
        <v>7.24</v>
      </c>
      <c r="J20">
        <f>I20-H20</f>
        <v>5.7200000000000006</v>
      </c>
      <c r="K20" s="2">
        <f>AVERAGE(K14:K18)</f>
        <v>0.21037052881758767</v>
      </c>
      <c r="M20" t="s">
        <v>14</v>
      </c>
      <c r="N20">
        <f>AVERAGE(N14:N18)</f>
        <v>1.78</v>
      </c>
      <c r="O20">
        <f>G27</f>
        <v>7.0200000000000005</v>
      </c>
      <c r="P20">
        <f>O20-N20</f>
        <v>5.24</v>
      </c>
      <c r="Q20" s="2">
        <f>AVERAGE(Q14:Q18)</f>
        <v>0.25369317582105305</v>
      </c>
      <c r="S20" t="s">
        <v>14</v>
      </c>
      <c r="T20">
        <f>AVERAGE(T14:T18)</f>
        <v>1.9099999999999997</v>
      </c>
      <c r="U20">
        <f>AVERAGE(U14:U18)</f>
        <v>6.9800000000000013</v>
      </c>
      <c r="V20">
        <f>U20-T20</f>
        <v>5.0700000000000021</v>
      </c>
      <c r="W20" s="2">
        <f>AVERAGE(W14:W18)</f>
        <v>0.27380704524210658</v>
      </c>
      <c r="Y20" t="s">
        <v>14</v>
      </c>
      <c r="Z20">
        <f>AVERAGE(Z14:Z18)</f>
        <v>2</v>
      </c>
      <c r="AA20">
        <f>AVERAGE(AA14:AA18)</f>
        <v>7.080000000000001</v>
      </c>
      <c r="AB20">
        <f>AA20-Z20</f>
        <v>5.080000000000001</v>
      </c>
      <c r="AC20" s="2">
        <f>AVERAGE(AC14:AC18)</f>
        <v>0.28353701830880346</v>
      </c>
    </row>
    <row r="23" spans="1:29" x14ac:dyDescent="0.3">
      <c r="A23" t="s">
        <v>17</v>
      </c>
      <c r="E23" t="s">
        <v>16</v>
      </c>
      <c r="I23" t="s">
        <v>18</v>
      </c>
      <c r="M23" t="s">
        <v>26</v>
      </c>
    </row>
    <row r="24" spans="1:29" x14ac:dyDescent="0.3">
      <c r="A24" s="3" t="s">
        <v>15</v>
      </c>
      <c r="B24" s="3" t="s">
        <v>19</v>
      </c>
      <c r="C24" s="3" t="s">
        <v>20</v>
      </c>
      <c r="E24" s="3" t="s">
        <v>15</v>
      </c>
      <c r="F24" s="3" t="s">
        <v>21</v>
      </c>
      <c r="G24" s="3" t="s">
        <v>22</v>
      </c>
      <c r="I24" s="3" t="s">
        <v>15</v>
      </c>
      <c r="J24" s="3" t="s">
        <v>23</v>
      </c>
      <c r="K24" s="3" t="s">
        <v>24</v>
      </c>
      <c r="M24" t="s">
        <v>15</v>
      </c>
      <c r="N24" s="3" t="s">
        <v>27</v>
      </c>
      <c r="O24" s="3" t="s">
        <v>28</v>
      </c>
    </row>
    <row r="25" spans="1:29" x14ac:dyDescent="0.3">
      <c r="A25" t="s">
        <v>0</v>
      </c>
      <c r="B25">
        <f>AVERAGE(B3:B7)</f>
        <v>17.05</v>
      </c>
      <c r="C25">
        <f>AVERAGE(B14:B18)</f>
        <v>1.33</v>
      </c>
      <c r="E25" t="s">
        <v>0</v>
      </c>
      <c r="F25">
        <f>AVERAGE(C3:C7)</f>
        <v>23.36</v>
      </c>
      <c r="G25">
        <f>AVERAGE(C14:C18)</f>
        <v>7.68</v>
      </c>
      <c r="I25" t="s">
        <v>0</v>
      </c>
      <c r="J25" s="2">
        <f>AVERAGE(E3:E7)</f>
        <v>0.73040269900613242</v>
      </c>
      <c r="K25" s="2">
        <f>AVERAGE(E14:E18)</f>
        <v>0.17443134845165142</v>
      </c>
      <c r="M25" t="s">
        <v>0</v>
      </c>
      <c r="N25" s="4">
        <f>C9-B9</f>
        <v>6.3099999999999987</v>
      </c>
      <c r="O25">
        <f>C20-B20</f>
        <v>6.35</v>
      </c>
    </row>
    <row r="26" spans="1:29" x14ac:dyDescent="0.3">
      <c r="A26" t="s">
        <v>1</v>
      </c>
      <c r="B26">
        <f>AVERAGE(H3:H7)</f>
        <v>17.18</v>
      </c>
      <c r="C26">
        <f>AVERAGE(H14:H18)</f>
        <v>1.52</v>
      </c>
      <c r="E26" t="s">
        <v>1</v>
      </c>
      <c r="F26">
        <f>AVERAGE(I3:I7)</f>
        <v>22.8</v>
      </c>
      <c r="G26">
        <f>AVERAGE(I14:I18)</f>
        <v>7.24</v>
      </c>
      <c r="I26" t="s">
        <v>1</v>
      </c>
      <c r="J26" s="2">
        <f>AVERAGE(K3:K7)</f>
        <v>0.75365300964608983</v>
      </c>
      <c r="K26" s="2">
        <f>AVERAGE(K14:K18)</f>
        <v>0.21037052881758767</v>
      </c>
      <c r="M26" t="s">
        <v>1</v>
      </c>
      <c r="N26">
        <f>I9-H9</f>
        <v>5.620000000000001</v>
      </c>
      <c r="O26">
        <f>I20-H20</f>
        <v>5.7200000000000006</v>
      </c>
    </row>
    <row r="27" spans="1:29" x14ac:dyDescent="0.3">
      <c r="A27" t="s">
        <v>2</v>
      </c>
      <c r="B27">
        <f>AVERAGE(N3:N7)</f>
        <v>17.309999999999999</v>
      </c>
      <c r="C27">
        <f>AVERAGE(N14:N18)</f>
        <v>1.78</v>
      </c>
      <c r="E27" t="s">
        <v>2</v>
      </c>
      <c r="F27">
        <f>AVERAGE(O3:O7)</f>
        <v>22.360000000000003</v>
      </c>
      <c r="G27">
        <f>AVERAGE(O14:O18)</f>
        <v>7.0200000000000005</v>
      </c>
      <c r="I27" t="s">
        <v>2</v>
      </c>
      <c r="J27" s="2">
        <f>AVERAGE(Q3:Q7)</f>
        <v>0.77421635193813931</v>
      </c>
      <c r="K27" s="2">
        <f>AVERAGE(Q14:Q18)</f>
        <v>0.25369317582105305</v>
      </c>
      <c r="M27" t="s">
        <v>2</v>
      </c>
      <c r="N27">
        <f>O9-N9</f>
        <v>5.0500000000000043</v>
      </c>
      <c r="O27">
        <f>O20-N20</f>
        <v>5.24</v>
      </c>
    </row>
    <row r="28" spans="1:29" x14ac:dyDescent="0.3">
      <c r="A28" t="s">
        <v>3</v>
      </c>
      <c r="B28">
        <f>AVERAGE(T3:T7)</f>
        <v>17.440000000000001</v>
      </c>
      <c r="C28">
        <f>AVERAGE(T14:T18)</f>
        <v>1.9099999999999997</v>
      </c>
      <c r="E28" t="s">
        <v>3</v>
      </c>
      <c r="F28">
        <f>AVERAGE(U3:U7)</f>
        <v>22.44</v>
      </c>
      <c r="G28">
        <f>AVERAGE(U14:U18)</f>
        <v>6.9800000000000013</v>
      </c>
      <c r="I28" t="s">
        <v>3</v>
      </c>
      <c r="J28" s="2">
        <f>AVERAGE(W3:W7)</f>
        <v>0.7772491273074954</v>
      </c>
      <c r="K28" s="2">
        <f>AVERAGE(W14:W18)</f>
        <v>0.27380704524210658</v>
      </c>
      <c r="M28" t="s">
        <v>3</v>
      </c>
      <c r="N28">
        <f>U9-T9</f>
        <v>5</v>
      </c>
      <c r="O28">
        <f>U20-T20</f>
        <v>5.0700000000000021</v>
      </c>
    </row>
    <row r="29" spans="1:29" x14ac:dyDescent="0.3">
      <c r="A29" t="s">
        <v>4</v>
      </c>
      <c r="B29">
        <f>AVERAGE(Z3:Z7)</f>
        <v>17.57</v>
      </c>
      <c r="C29">
        <f>AVERAGE(Z14:Z18)</f>
        <v>2</v>
      </c>
      <c r="D29" s="1"/>
      <c r="E29" t="s">
        <v>4</v>
      </c>
      <c r="F29">
        <f>AVERAGE(AA3:AA7)</f>
        <v>22.5</v>
      </c>
      <c r="G29">
        <f>AVERAGE(AA14:AA18)</f>
        <v>7.080000000000001</v>
      </c>
      <c r="I29" t="s">
        <v>4</v>
      </c>
      <c r="J29" s="2">
        <f>AVERAGE(AC3:AC7)</f>
        <v>0.78093199956539794</v>
      </c>
      <c r="K29" s="2">
        <f>AVERAGE(AC14:AC18)</f>
        <v>0.28353701830880346</v>
      </c>
      <c r="M29" t="s">
        <v>4</v>
      </c>
      <c r="N29">
        <f>AA9-Z9</f>
        <v>4.93</v>
      </c>
      <c r="O29">
        <f>AA20-Z20</f>
        <v>5.080000000000001</v>
      </c>
    </row>
    <row r="33" spans="10:11" x14ac:dyDescent="0.3">
      <c r="J33" s="2"/>
      <c r="K33" s="2"/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Allan Elia</cp:lastModifiedBy>
  <cp:revision/>
  <dcterms:created xsi:type="dcterms:W3CDTF">2026-05-11T10:26:26Z</dcterms:created>
  <dcterms:modified xsi:type="dcterms:W3CDTF">2026-05-19T10:31:16Z</dcterms:modified>
  <cp:category/>
  <cp:contentStatus/>
</cp:coreProperties>
</file>